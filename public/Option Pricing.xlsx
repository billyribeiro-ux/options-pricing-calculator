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75" windowWidth="19155" windowHeight="12075"/>
  </bookViews>
  <sheets>
    <sheet name="Option Pricing" sheetId="1" r:id="rId1"/>
  </sheets>
  <calcPr calcId="125725"/>
</workbook>
</file>

<file path=xl/calcChain.xml><?xml version="1.0" encoding="utf-8"?>
<calcChain xmlns="http://schemas.openxmlformats.org/spreadsheetml/2006/main">
  <c r="E39" i="1"/>
  <c r="E43" s="1"/>
  <c r="F35"/>
  <c r="F39" s="1"/>
  <c r="E35"/>
  <c r="E36" s="1"/>
  <c r="E26"/>
  <c r="E25"/>
  <c r="E28" s="1"/>
  <c r="E22"/>
  <c r="F21"/>
  <c r="F22" s="1"/>
  <c r="M16"/>
  <c r="I8"/>
  <c r="L8" s="1"/>
  <c r="K8" l="1"/>
  <c r="E45"/>
  <c r="E29"/>
  <c r="I9"/>
  <c r="K9" s="1"/>
  <c r="F45"/>
  <c r="F43"/>
  <c r="F42"/>
  <c r="E31"/>
  <c r="E40"/>
  <c r="F25"/>
  <c r="F40"/>
  <c r="F26"/>
  <c r="G21"/>
  <c r="E42"/>
  <c r="G35"/>
  <c r="F36"/>
  <c r="L9" l="1"/>
  <c r="G26"/>
  <c r="G25"/>
  <c r="G22"/>
  <c r="H21"/>
  <c r="H35"/>
  <c r="G36"/>
  <c r="G40" s="1"/>
  <c r="F29"/>
  <c r="F28"/>
  <c r="F31"/>
  <c r="G39" l="1"/>
  <c r="G43" s="1"/>
  <c r="I35"/>
  <c r="H39"/>
  <c r="H36"/>
  <c r="H40"/>
  <c r="H26"/>
  <c r="H22"/>
  <c r="H25"/>
  <c r="I21"/>
  <c r="G28"/>
  <c r="G31"/>
  <c r="G29"/>
  <c r="G42" l="1"/>
  <c r="G45"/>
  <c r="H43"/>
  <c r="H42"/>
  <c r="H45"/>
  <c r="J35"/>
  <c r="I40"/>
  <c r="I39"/>
  <c r="I36"/>
  <c r="I26"/>
  <c r="I25"/>
  <c r="I22"/>
  <c r="J21"/>
  <c r="H31"/>
  <c r="H29"/>
  <c r="H28"/>
  <c r="I45" l="1"/>
  <c r="I42"/>
  <c r="I43"/>
  <c r="J40"/>
  <c r="J36"/>
  <c r="K35"/>
  <c r="J39"/>
  <c r="J26"/>
  <c r="J25"/>
  <c r="K21"/>
  <c r="J22"/>
  <c r="I31"/>
  <c r="I29"/>
  <c r="I28"/>
  <c r="J42" l="1"/>
  <c r="J43"/>
  <c r="J45"/>
  <c r="K40"/>
  <c r="K39"/>
  <c r="K36"/>
  <c r="L35"/>
  <c r="K25"/>
  <c r="K22"/>
  <c r="L21"/>
  <c r="K26"/>
  <c r="J31"/>
  <c r="J28"/>
  <c r="J29"/>
  <c r="K29" l="1"/>
  <c r="K28"/>
  <c r="K31"/>
  <c r="K45"/>
  <c r="K43"/>
  <c r="K42"/>
  <c r="L40"/>
  <c r="L39"/>
  <c r="M35"/>
  <c r="L36"/>
  <c r="L22"/>
  <c r="M21"/>
  <c r="L26"/>
  <c r="L25"/>
  <c r="M36" l="1"/>
  <c r="N35"/>
  <c r="M40"/>
  <c r="M39"/>
  <c r="L45"/>
  <c r="L42"/>
  <c r="L43"/>
  <c r="L31"/>
  <c r="L29"/>
  <c r="L28"/>
  <c r="M22"/>
  <c r="N21"/>
  <c r="M26"/>
  <c r="M25"/>
  <c r="M45" l="1"/>
  <c r="M43"/>
  <c r="M42"/>
  <c r="M29"/>
  <c r="M28"/>
  <c r="M31"/>
  <c r="N25"/>
  <c r="N22"/>
  <c r="N26"/>
  <c r="N39"/>
  <c r="N36"/>
  <c r="N40"/>
  <c r="N28" l="1"/>
  <c r="H16" s="1"/>
  <c r="N31"/>
  <c r="N29"/>
  <c r="H17" s="1"/>
  <c r="N45"/>
  <c r="N43"/>
  <c r="I17" s="1"/>
  <c r="N42"/>
  <c r="I16" s="1"/>
</calcChain>
</file>

<file path=xl/sharedStrings.xml><?xml version="1.0" encoding="utf-8"?>
<sst xmlns="http://schemas.openxmlformats.org/spreadsheetml/2006/main" count="37" uniqueCount="32">
  <si>
    <t>Iron Condors</t>
  </si>
  <si>
    <t>Option Data</t>
  </si>
  <si>
    <t>Calls</t>
  </si>
  <si>
    <t>Puts</t>
  </si>
  <si>
    <t>Stock</t>
  </si>
  <si>
    <t>1 Std Dev. Move +/-</t>
  </si>
  <si>
    <t>Current Price</t>
  </si>
  <si>
    <t>2 Std Dev. Move +/-</t>
  </si>
  <si>
    <t>Implied Volatility ATM</t>
  </si>
  <si>
    <t>Days 'til expiry</t>
  </si>
  <si>
    <t>Call</t>
  </si>
  <si>
    <t>Put</t>
  </si>
  <si>
    <t>Number of Contracts</t>
  </si>
  <si>
    <t xml:space="preserve">Short  </t>
  </si>
  <si>
    <t>Strike Price Gaps</t>
  </si>
  <si>
    <t xml:space="preserve">Long  </t>
  </si>
  <si>
    <t xml:space="preserve">ATM Straddle (ask-side)  </t>
  </si>
  <si>
    <t xml:space="preserve">Net Credit  </t>
  </si>
  <si>
    <t xml:space="preserve">Factor  </t>
  </si>
  <si>
    <t xml:space="preserve">Expectation Value  </t>
  </si>
  <si>
    <t xml:space="preserve">Mkt Maker Move  </t>
  </si>
  <si>
    <t xml:space="preserve">Reward / Risk Ratio  </t>
  </si>
  <si>
    <t>Call Strike Price</t>
  </si>
  <si>
    <t>Probability &gt; Strike $</t>
  </si>
  <si>
    <t>Max Expected Gain</t>
  </si>
  <si>
    <t>Max Expected Pain</t>
  </si>
  <si>
    <t>Expected Value</t>
  </si>
  <si>
    <t>Reward / Profit Ratio</t>
  </si>
  <si>
    <t>Price for 1:1 Ratio</t>
  </si>
  <si>
    <t>Put Strike Price</t>
  </si>
  <si>
    <t>Probability &lt; Strike $</t>
  </si>
  <si>
    <t>aapl</t>
  </si>
</sst>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"/>
    <numFmt numFmtId="166" formatCode="0.00\ \x"/>
    <numFmt numFmtId="167" formatCode="0.0%"/>
  </numFmts>
  <fonts count="5">
    <font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0" xfId="0" applyBorder="1" applyAlignment="1"/>
    <xf numFmtId="0" fontId="0" fillId="0" borderId="5" xfId="0" applyBorder="1"/>
    <xf numFmtId="0" fontId="0" fillId="0" borderId="8" xfId="0" applyBorder="1" applyAlignment="1">
      <alignment horizontal="center"/>
    </xf>
    <xf numFmtId="0" fontId="3" fillId="0" borderId="0" xfId="0" applyFont="1"/>
    <xf numFmtId="164" fontId="3" fillId="2" borderId="0" xfId="0" applyNumberFormat="1" applyFont="1" applyFill="1" applyBorder="1" applyAlignment="1">
      <alignment horizontal="center"/>
    </xf>
    <xf numFmtId="4" fontId="0" fillId="3" borderId="8" xfId="0" applyNumberFormat="1" applyFill="1" applyBorder="1"/>
    <xf numFmtId="165" fontId="0" fillId="0" borderId="8" xfId="0" applyNumberFormat="1" applyBorder="1" applyAlignment="1">
      <alignment horizontal="center"/>
    </xf>
    <xf numFmtId="164" fontId="0" fillId="2" borderId="0" xfId="0" applyNumberFormat="1" applyFill="1" applyBorder="1"/>
    <xf numFmtId="0" fontId="3" fillId="0" borderId="0" xfId="0" applyFont="1" applyBorder="1"/>
    <xf numFmtId="10" fontId="0" fillId="2" borderId="0" xfId="1" applyNumberFormat="1" applyFont="1" applyFill="1" applyBorder="1"/>
    <xf numFmtId="0" fontId="0" fillId="2" borderId="0" xfId="0" applyFill="1" applyBorder="1"/>
    <xf numFmtId="0" fontId="3" fillId="0" borderId="9" xfId="0" applyFont="1" applyBorder="1" applyAlignment="1">
      <alignment horizontal="center"/>
    </xf>
    <xf numFmtId="0" fontId="0" fillId="0" borderId="0" xfId="0" applyFont="1" applyFill="1" applyBorder="1"/>
    <xf numFmtId="0" fontId="3" fillId="0" borderId="0" xfId="0" applyFont="1" applyBorder="1" applyAlignment="1">
      <alignment horizontal="right"/>
    </xf>
    <xf numFmtId="165" fontId="0" fillId="2" borderId="0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66" fontId="0" fillId="2" borderId="0" xfId="0" applyNumberFormat="1" applyFill="1" applyBorder="1"/>
    <xf numFmtId="164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/>
    <xf numFmtId="164" fontId="0" fillId="3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4" fontId="0" fillId="3" borderId="0" xfId="0" applyNumberFormat="1" applyFill="1" applyBorder="1"/>
    <xf numFmtId="166" fontId="0" fillId="3" borderId="0" xfId="0" applyNumberFormat="1" applyFill="1" applyBorder="1" applyAlignment="1">
      <alignment horizontal="center"/>
    </xf>
    <xf numFmtId="0" fontId="0" fillId="3" borderId="0" xfId="0" applyFill="1" applyBorder="1"/>
    <xf numFmtId="164" fontId="4" fillId="3" borderId="0" xfId="0" applyNumberFormat="1" applyFont="1" applyFill="1" applyBorder="1"/>
    <xf numFmtId="0" fontId="0" fillId="0" borderId="0" xfId="0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0" fontId="0" fillId="0" borderId="10" xfId="0" applyBorder="1"/>
    <xf numFmtId="0" fontId="0" fillId="0" borderId="9" xfId="0" applyBorder="1"/>
    <xf numFmtId="167" fontId="0" fillId="0" borderId="9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3" fillId="0" borderId="0" xfId="0" applyFont="1" applyFill="1" applyBorder="1"/>
    <xf numFmtId="2" fontId="0" fillId="0" borderId="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3" fillId="3" borderId="0" xfId="0" applyFont="1" applyFill="1" applyBorder="1"/>
    <xf numFmtId="0" fontId="0" fillId="3" borderId="0" xfId="0" applyFont="1" applyFill="1" applyBorder="1"/>
    <xf numFmtId="166" fontId="0" fillId="0" borderId="5" xfId="0" applyNumberFormat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0" fillId="0" borderId="9" xfId="0" applyFont="1" applyFill="1" applyBorder="1"/>
    <xf numFmtId="164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3" fillId="3" borderId="0" xfId="0" applyNumberFormat="1" applyFont="1" applyFill="1" applyBorder="1"/>
    <xf numFmtId="0" fontId="0" fillId="0" borderId="11" xfId="0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47"/>
  <sheetViews>
    <sheetView showGridLines="0" tabSelected="1" workbookViewId="0">
      <selection activeCell="E12" sqref="E12"/>
    </sheetView>
  </sheetViews>
  <sheetFormatPr defaultRowHeight="12.75"/>
  <cols>
    <col min="2" max="2" width="4.85546875" customWidth="1"/>
    <col min="3" max="3" width="2.42578125" customWidth="1"/>
    <col min="4" max="4" width="21.7109375" customWidth="1"/>
    <col min="5" max="5" width="9.85546875" bestFit="1" customWidth="1"/>
    <col min="6" max="6" width="9.7109375" bestFit="1" customWidth="1"/>
    <col min="7" max="7" width="20" bestFit="1" customWidth="1"/>
    <col min="8" max="9" width="9.42578125" customWidth="1"/>
    <col min="10" max="10" width="9.7109375" bestFit="1" customWidth="1"/>
    <col min="15" max="15" width="2.42578125" customWidth="1"/>
    <col min="16" max="16" width="4.85546875" customWidth="1"/>
  </cols>
  <sheetData>
    <row r="3" spans="2:16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2:16">
      <c r="B4" s="4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7"/>
    </row>
    <row r="5" spans="2:16" ht="15.75">
      <c r="B5" s="4"/>
      <c r="C5" s="5"/>
      <c r="D5" s="5"/>
      <c r="E5" s="5"/>
      <c r="F5" s="5"/>
      <c r="G5" s="5"/>
      <c r="H5" s="5"/>
      <c r="I5" s="5"/>
      <c r="J5" s="5"/>
      <c r="K5" s="55" t="s">
        <v>0</v>
      </c>
      <c r="L5" s="56"/>
      <c r="M5" s="5"/>
      <c r="N5" s="5"/>
      <c r="O5" s="5"/>
      <c r="P5" s="7"/>
    </row>
    <row r="6" spans="2:16">
      <c r="B6" s="4"/>
      <c r="C6" s="5"/>
      <c r="D6" s="57" t="s">
        <v>1</v>
      </c>
      <c r="E6" s="58"/>
      <c r="F6" s="5"/>
      <c r="G6" s="5"/>
      <c r="H6" s="5"/>
      <c r="I6" s="5"/>
      <c r="J6" s="5"/>
      <c r="K6" s="8" t="s">
        <v>2</v>
      </c>
      <c r="L6" s="8" t="s">
        <v>3</v>
      </c>
      <c r="M6" s="5"/>
      <c r="N6" s="5"/>
      <c r="O6" s="5"/>
      <c r="P6" s="7"/>
    </row>
    <row r="7" spans="2:16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7"/>
    </row>
    <row r="8" spans="2:16" ht="15.75">
      <c r="B8" s="4"/>
      <c r="C8" s="5"/>
      <c r="D8" s="9" t="s">
        <v>4</v>
      </c>
      <c r="E8" s="10" t="s">
        <v>31</v>
      </c>
      <c r="F8" s="5"/>
      <c r="G8" s="5" t="s">
        <v>5</v>
      </c>
      <c r="H8" s="5"/>
      <c r="I8" s="11">
        <f>E9*E10*(E11/365)^0.5</f>
        <v>20.102878076506958</v>
      </c>
      <c r="J8" s="5"/>
      <c r="K8" s="12">
        <f>+E9+I8</f>
        <v>718.10287807650695</v>
      </c>
      <c r="L8" s="12">
        <f>+E9-I8</f>
        <v>677.89712192349305</v>
      </c>
      <c r="M8" s="5"/>
      <c r="N8" s="5"/>
      <c r="O8" s="5"/>
      <c r="P8" s="7"/>
    </row>
    <row r="9" spans="2:16">
      <c r="B9" s="4"/>
      <c r="C9" s="5"/>
      <c r="D9" s="5" t="s">
        <v>6</v>
      </c>
      <c r="E9" s="13">
        <v>698</v>
      </c>
      <c r="F9" s="5"/>
      <c r="G9" s="5" t="s">
        <v>7</v>
      </c>
      <c r="H9" s="5"/>
      <c r="I9" s="11">
        <f>+I8*2</f>
        <v>40.205756153013915</v>
      </c>
      <c r="J9" s="5"/>
      <c r="K9" s="12">
        <f>+E9+I9</f>
        <v>738.20575615301391</v>
      </c>
      <c r="L9" s="12">
        <f>+E9-I9</f>
        <v>657.79424384698609</v>
      </c>
      <c r="M9" s="5"/>
      <c r="N9" s="5"/>
      <c r="O9" s="5"/>
      <c r="P9" s="7"/>
    </row>
    <row r="10" spans="2:16" ht="15.75">
      <c r="B10" s="4"/>
      <c r="C10" s="5"/>
      <c r="D10" s="14" t="s">
        <v>8</v>
      </c>
      <c r="E10" s="15">
        <v>0.17399999999999999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7"/>
    </row>
    <row r="11" spans="2:16" ht="15.75">
      <c r="B11" s="4"/>
      <c r="C11" s="5"/>
      <c r="D11" s="5" t="s">
        <v>9</v>
      </c>
      <c r="E11" s="16">
        <v>10</v>
      </c>
      <c r="F11" s="5"/>
      <c r="G11" s="14"/>
      <c r="H11" s="17" t="s">
        <v>10</v>
      </c>
      <c r="I11" s="17" t="s">
        <v>11</v>
      </c>
      <c r="J11" s="5"/>
      <c r="K11" s="5"/>
      <c r="L11" s="5"/>
      <c r="M11" s="5"/>
      <c r="N11" s="5"/>
      <c r="O11" s="5"/>
      <c r="P11" s="7"/>
    </row>
    <row r="12" spans="2:16" ht="15.75">
      <c r="B12" s="4"/>
      <c r="C12" s="5"/>
      <c r="D12" s="18" t="s">
        <v>12</v>
      </c>
      <c r="E12" s="16">
        <v>10</v>
      </c>
      <c r="F12" s="5"/>
      <c r="G12" s="19" t="s">
        <v>13</v>
      </c>
      <c r="H12" s="20">
        <v>705</v>
      </c>
      <c r="I12" s="21">
        <v>690</v>
      </c>
      <c r="J12" s="5"/>
      <c r="N12" s="5"/>
      <c r="O12" s="5"/>
      <c r="P12" s="7"/>
    </row>
    <row r="13" spans="2:16" ht="15.75">
      <c r="B13" s="4"/>
      <c r="C13" s="5"/>
      <c r="D13" s="5" t="s">
        <v>14</v>
      </c>
      <c r="E13" s="13">
        <v>5</v>
      </c>
      <c r="F13" s="5"/>
      <c r="G13" s="22" t="s">
        <v>15</v>
      </c>
      <c r="H13" s="20">
        <v>710</v>
      </c>
      <c r="I13" s="21">
        <v>685</v>
      </c>
      <c r="J13" s="5"/>
      <c r="K13" s="5"/>
      <c r="L13" s="19" t="s">
        <v>16</v>
      </c>
      <c r="M13" s="13">
        <v>6.8</v>
      </c>
      <c r="N13" s="5"/>
      <c r="O13" s="5"/>
      <c r="P13" s="7"/>
    </row>
    <row r="14" spans="2:16" ht="15.75">
      <c r="B14" s="4"/>
      <c r="C14" s="5"/>
      <c r="F14" s="5"/>
      <c r="G14" s="22" t="s">
        <v>17</v>
      </c>
      <c r="H14" s="21">
        <v>0.45</v>
      </c>
      <c r="I14" s="21">
        <v>0.32</v>
      </c>
      <c r="J14" s="5"/>
      <c r="K14" s="5"/>
      <c r="L14" s="23" t="s">
        <v>18</v>
      </c>
      <c r="M14" s="24">
        <v>0.85</v>
      </c>
      <c r="N14" s="5"/>
      <c r="O14" s="5"/>
      <c r="P14" s="7"/>
    </row>
    <row r="15" spans="2:16" ht="15.75">
      <c r="B15" s="4"/>
      <c r="C15" s="5"/>
      <c r="F15" s="5"/>
      <c r="G15" s="22"/>
      <c r="H15" s="25"/>
      <c r="I15" s="25"/>
      <c r="J15" s="5"/>
      <c r="K15" s="5"/>
      <c r="L15" s="23"/>
      <c r="M15" s="5"/>
      <c r="N15" s="5"/>
      <c r="O15" s="5"/>
      <c r="P15" s="7"/>
    </row>
    <row r="16" spans="2:16" ht="15.75">
      <c r="B16" s="4"/>
      <c r="C16" s="5"/>
      <c r="D16" s="5"/>
      <c r="E16" s="26"/>
      <c r="F16" s="5"/>
      <c r="G16" s="22" t="s">
        <v>19</v>
      </c>
      <c r="H16" s="27">
        <f>IF(H12&gt;0,SUM($E28:$N28)," ")</f>
        <v>-1536.4874480606288</v>
      </c>
      <c r="I16" s="27">
        <f>IF(I12&gt;0,SUM($E42:$N42)," ")</f>
        <v>-1512.6644491702104</v>
      </c>
      <c r="J16" s="5"/>
      <c r="K16" s="28"/>
      <c r="L16" s="29" t="s">
        <v>20</v>
      </c>
      <c r="M16" s="30">
        <f>+M13*M14</f>
        <v>5.7799999999999994</v>
      </c>
      <c r="N16" s="5"/>
      <c r="O16" s="5"/>
      <c r="P16" s="7"/>
    </row>
    <row r="17" spans="2:17" ht="15.75">
      <c r="B17" s="4"/>
      <c r="C17" s="5"/>
      <c r="D17" s="5"/>
      <c r="E17" s="26"/>
      <c r="F17" s="5"/>
      <c r="G17" s="22" t="s">
        <v>21</v>
      </c>
      <c r="H17" s="31">
        <f>IF(H12&gt;0,SUM($E29:$N29)," ")</f>
        <v>0.15691824782425184</v>
      </c>
      <c r="I17" s="31">
        <f>IF(I12&gt;0,SUM($E43:$N43)," ")</f>
        <v>0.12178414622172747</v>
      </c>
      <c r="J17" s="5"/>
      <c r="K17" s="5"/>
      <c r="L17" s="5"/>
      <c r="M17" s="5"/>
      <c r="N17" s="5"/>
      <c r="O17" s="5"/>
      <c r="P17" s="7"/>
    </row>
    <row r="18" spans="2:17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7"/>
    </row>
    <row r="19" spans="2:17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7"/>
    </row>
    <row r="20" spans="2:17" ht="3.95" customHeight="1">
      <c r="B20" s="4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7"/>
    </row>
    <row r="21" spans="2:17" ht="15.75">
      <c r="B21" s="4"/>
      <c r="C21" s="4"/>
      <c r="D21" s="32" t="s">
        <v>22</v>
      </c>
      <c r="E21" s="33">
        <v>700</v>
      </c>
      <c r="F21" s="30">
        <f t="shared" ref="F21:N21" si="0">+E21+$E13</f>
        <v>705</v>
      </c>
      <c r="G21" s="30">
        <f t="shared" si="0"/>
        <v>710</v>
      </c>
      <c r="H21" s="30">
        <f t="shared" si="0"/>
        <v>715</v>
      </c>
      <c r="I21" s="30">
        <f t="shared" si="0"/>
        <v>720</v>
      </c>
      <c r="J21" s="30">
        <f t="shared" si="0"/>
        <v>725</v>
      </c>
      <c r="K21" s="30">
        <f t="shared" si="0"/>
        <v>730</v>
      </c>
      <c r="L21" s="30">
        <f t="shared" si="0"/>
        <v>735</v>
      </c>
      <c r="M21" s="30">
        <f t="shared" si="0"/>
        <v>740</v>
      </c>
      <c r="N21" s="30">
        <f t="shared" si="0"/>
        <v>745</v>
      </c>
      <c r="O21" s="7"/>
      <c r="P21" s="7"/>
      <c r="Q21" s="34"/>
    </row>
    <row r="22" spans="2:17">
      <c r="B22" s="4"/>
      <c r="C22" s="4"/>
      <c r="D22" s="5" t="s">
        <v>23</v>
      </c>
      <c r="E22" s="35">
        <f t="shared" ref="E22:N22" si="1">1-NORMSDIST(LN(E21/$E9)/($E10*SQRT($E11/365)))</f>
        <v>0.4604317859250584</v>
      </c>
      <c r="F22" s="35">
        <f t="shared" si="1"/>
        <v>0.36449310973589522</v>
      </c>
      <c r="G22" s="35">
        <f t="shared" si="1"/>
        <v>0.2769734041660995</v>
      </c>
      <c r="H22" s="35">
        <f t="shared" si="1"/>
        <v>0.20171355396158686</v>
      </c>
      <c r="I22" s="35">
        <f t="shared" si="1"/>
        <v>0.14063334939254368</v>
      </c>
      <c r="J22" s="35">
        <f t="shared" si="1"/>
        <v>9.3791062002714143E-2</v>
      </c>
      <c r="K22" s="35">
        <f t="shared" si="1"/>
        <v>5.9806315439961288E-2</v>
      </c>
      <c r="L22" s="35">
        <f t="shared" si="1"/>
        <v>3.6453805557438823E-2</v>
      </c>
      <c r="M22" s="35">
        <f t="shared" si="1"/>
        <v>2.1238883579354106E-2</v>
      </c>
      <c r="N22" s="35">
        <f t="shared" si="1"/>
        <v>1.182944437220379E-2</v>
      </c>
      <c r="O22" s="36"/>
      <c r="P22" s="7"/>
      <c r="Q22" s="34"/>
    </row>
    <row r="23" spans="2:17" ht="6" customHeight="1">
      <c r="B23" s="4"/>
      <c r="C23" s="37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40"/>
      <c r="P23" s="7"/>
      <c r="Q23" s="34"/>
    </row>
    <row r="24" spans="2:17" ht="3.95" customHeight="1">
      <c r="B24" s="4"/>
      <c r="C24" s="4"/>
      <c r="D24" s="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6"/>
      <c r="P24" s="7"/>
      <c r="Q24" s="34"/>
    </row>
    <row r="25" spans="2:17">
      <c r="B25" s="4"/>
      <c r="C25" s="4"/>
      <c r="D25" s="18" t="s">
        <v>24</v>
      </c>
      <c r="E25" s="41" t="str">
        <f t="shared" ref="E25:N25" si="2">IF(E21=$H12,$H14*(1-E22)*$E12*100," ")</f>
        <v xml:space="preserve"> </v>
      </c>
      <c r="F25" s="41">
        <f t="shared" si="2"/>
        <v>285.97810061884712</v>
      </c>
      <c r="G25" s="41" t="str">
        <f t="shared" si="2"/>
        <v xml:space="preserve"> </v>
      </c>
      <c r="H25" s="41" t="str">
        <f t="shared" si="2"/>
        <v xml:space="preserve"> </v>
      </c>
      <c r="I25" s="41" t="str">
        <f t="shared" si="2"/>
        <v xml:space="preserve"> </v>
      </c>
      <c r="J25" s="41" t="str">
        <f t="shared" si="2"/>
        <v xml:space="preserve"> </v>
      </c>
      <c r="K25" s="41" t="str">
        <f t="shared" si="2"/>
        <v xml:space="preserve"> </v>
      </c>
      <c r="L25" s="41" t="str">
        <f t="shared" si="2"/>
        <v xml:space="preserve"> </v>
      </c>
      <c r="M25" s="41" t="str">
        <f t="shared" si="2"/>
        <v xml:space="preserve"> </v>
      </c>
      <c r="N25" s="41" t="str">
        <f t="shared" si="2"/>
        <v xml:space="preserve"> </v>
      </c>
      <c r="O25" s="42"/>
      <c r="P25" s="7"/>
      <c r="Q25" s="34"/>
    </row>
    <row r="26" spans="2:17" ht="15.75">
      <c r="B26" s="4"/>
      <c r="C26" s="4"/>
      <c r="D26" s="43" t="s">
        <v>25</v>
      </c>
      <c r="E26" s="44" t="str">
        <f t="shared" ref="E26:N26" si="3">IF(E21=$H12,($H12-$H13)*E22*$E12*100," ")</f>
        <v xml:space="preserve"> </v>
      </c>
      <c r="F26" s="44">
        <f t="shared" si="3"/>
        <v>-1822.4655486794759</v>
      </c>
      <c r="G26" s="44" t="str">
        <f t="shared" si="3"/>
        <v xml:space="preserve"> </v>
      </c>
      <c r="H26" s="44" t="str">
        <f t="shared" si="3"/>
        <v xml:space="preserve"> </v>
      </c>
      <c r="I26" s="44" t="str">
        <f t="shared" si="3"/>
        <v xml:space="preserve"> </v>
      </c>
      <c r="J26" s="44" t="str">
        <f t="shared" si="3"/>
        <v xml:space="preserve"> </v>
      </c>
      <c r="K26" s="44" t="str">
        <f t="shared" si="3"/>
        <v xml:space="preserve"> </v>
      </c>
      <c r="L26" s="44" t="str">
        <f t="shared" si="3"/>
        <v xml:space="preserve"> </v>
      </c>
      <c r="M26" s="44" t="str">
        <f t="shared" si="3"/>
        <v xml:space="preserve"> </v>
      </c>
      <c r="N26" s="44" t="str">
        <f t="shared" si="3"/>
        <v xml:space="preserve"> </v>
      </c>
      <c r="O26" s="45"/>
      <c r="P26" s="7"/>
      <c r="Q26" s="34"/>
    </row>
    <row r="27" spans="2:17" ht="3.95" customHeight="1">
      <c r="B27" s="4"/>
      <c r="C27" s="4"/>
      <c r="D27" s="43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5"/>
      <c r="P27" s="7"/>
      <c r="Q27" s="34"/>
    </row>
    <row r="28" spans="2:17" ht="15.75">
      <c r="B28" s="4"/>
      <c r="C28" s="4"/>
      <c r="D28" s="46" t="s">
        <v>26</v>
      </c>
      <c r="E28" s="27" t="str">
        <f t="shared" ref="E28:N28" si="4">IF(E25=" "," ",+E25+E26)</f>
        <v xml:space="preserve"> </v>
      </c>
      <c r="F28" s="27">
        <f t="shared" si="4"/>
        <v>-1536.4874480606288</v>
      </c>
      <c r="G28" s="27" t="str">
        <f t="shared" si="4"/>
        <v xml:space="preserve"> </v>
      </c>
      <c r="H28" s="27" t="str">
        <f t="shared" si="4"/>
        <v xml:space="preserve"> </v>
      </c>
      <c r="I28" s="27" t="str">
        <f t="shared" si="4"/>
        <v xml:space="preserve"> </v>
      </c>
      <c r="J28" s="27" t="str">
        <f t="shared" si="4"/>
        <v xml:space="preserve"> </v>
      </c>
      <c r="K28" s="27" t="str">
        <f t="shared" si="4"/>
        <v xml:space="preserve"> </v>
      </c>
      <c r="L28" s="27" t="str">
        <f t="shared" si="4"/>
        <v xml:space="preserve"> </v>
      </c>
      <c r="M28" s="27" t="str">
        <f t="shared" si="4"/>
        <v xml:space="preserve"> </v>
      </c>
      <c r="N28" s="27" t="str">
        <f t="shared" si="4"/>
        <v xml:space="preserve"> </v>
      </c>
      <c r="O28" s="42"/>
      <c r="P28" s="7"/>
      <c r="Q28" s="34"/>
    </row>
    <row r="29" spans="2:17">
      <c r="B29" s="4"/>
      <c r="C29" s="4"/>
      <c r="D29" s="47" t="s">
        <v>27</v>
      </c>
      <c r="E29" s="31" t="str">
        <f t="shared" ref="E29:N29" si="5">IF(E25=" "," ",+E25/-E26)</f>
        <v xml:space="preserve"> </v>
      </c>
      <c r="F29" s="31">
        <f t="shared" si="5"/>
        <v>0.15691824782425184</v>
      </c>
      <c r="G29" s="31" t="str">
        <f t="shared" si="5"/>
        <v xml:space="preserve"> </v>
      </c>
      <c r="H29" s="31" t="str">
        <f t="shared" si="5"/>
        <v xml:space="preserve"> </v>
      </c>
      <c r="I29" s="31" t="str">
        <f t="shared" si="5"/>
        <v xml:space="preserve"> </v>
      </c>
      <c r="J29" s="31" t="str">
        <f t="shared" si="5"/>
        <v xml:space="preserve"> </v>
      </c>
      <c r="K29" s="31" t="str">
        <f t="shared" si="5"/>
        <v xml:space="preserve"> </v>
      </c>
      <c r="L29" s="31" t="str">
        <f t="shared" si="5"/>
        <v xml:space="preserve"> </v>
      </c>
      <c r="M29" s="31" t="str">
        <f t="shared" si="5"/>
        <v xml:space="preserve"> </v>
      </c>
      <c r="N29" s="31" t="str">
        <f t="shared" si="5"/>
        <v xml:space="preserve"> </v>
      </c>
      <c r="O29" s="48"/>
      <c r="P29" s="7"/>
      <c r="Q29" s="34"/>
    </row>
    <row r="30" spans="2:17" ht="3.95" customHeight="1">
      <c r="B30" s="4"/>
      <c r="C30" s="4"/>
      <c r="D30" s="18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8"/>
      <c r="P30" s="7"/>
      <c r="Q30" s="34"/>
    </row>
    <row r="31" spans="2:17">
      <c r="B31" s="4"/>
      <c r="C31" s="4"/>
      <c r="D31" s="18" t="s">
        <v>28</v>
      </c>
      <c r="E31" s="41" t="str">
        <f t="shared" ref="E31:N31" si="6">IF(E25=" "," ",($H13-$H12)*E22/(1-E22))</f>
        <v xml:space="preserve"> </v>
      </c>
      <c r="F31" s="41">
        <f t="shared" si="6"/>
        <v>2.8677353095606777</v>
      </c>
      <c r="G31" s="41" t="str">
        <f t="shared" si="6"/>
        <v xml:space="preserve"> </v>
      </c>
      <c r="H31" s="41" t="str">
        <f t="shared" si="6"/>
        <v xml:space="preserve"> </v>
      </c>
      <c r="I31" s="41" t="str">
        <f t="shared" si="6"/>
        <v xml:space="preserve"> </v>
      </c>
      <c r="J31" s="41" t="str">
        <f t="shared" si="6"/>
        <v xml:space="preserve"> </v>
      </c>
      <c r="K31" s="41" t="str">
        <f t="shared" si="6"/>
        <v xml:space="preserve"> </v>
      </c>
      <c r="L31" s="41" t="str">
        <f t="shared" si="6"/>
        <v xml:space="preserve"> </v>
      </c>
      <c r="M31" s="41" t="str">
        <f t="shared" si="6"/>
        <v xml:space="preserve"> </v>
      </c>
      <c r="N31" s="41" t="str">
        <f t="shared" si="6"/>
        <v xml:space="preserve"> </v>
      </c>
      <c r="O31" s="42"/>
      <c r="P31" s="7"/>
      <c r="Q31" s="34"/>
    </row>
    <row r="32" spans="2:17" ht="3.95" customHeight="1">
      <c r="B32" s="4"/>
      <c r="C32" s="37"/>
      <c r="D32" s="50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2"/>
      <c r="P32" s="7"/>
      <c r="Q32" s="34"/>
    </row>
    <row r="33" spans="2:17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7"/>
    </row>
    <row r="34" spans="2:17" ht="3.95" customHeight="1">
      <c r="B34" s="4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7"/>
    </row>
    <row r="35" spans="2:17" ht="15.75">
      <c r="B35" s="4"/>
      <c r="C35" s="4"/>
      <c r="D35" s="32" t="s">
        <v>29</v>
      </c>
      <c r="E35" s="53">
        <f>+E21</f>
        <v>700</v>
      </c>
      <c r="F35" s="30">
        <f t="shared" ref="F35:N35" si="7">+E35-$E13</f>
        <v>695</v>
      </c>
      <c r="G35" s="30">
        <f t="shared" si="7"/>
        <v>690</v>
      </c>
      <c r="H35" s="30">
        <f t="shared" si="7"/>
        <v>685</v>
      </c>
      <c r="I35" s="30">
        <f t="shared" si="7"/>
        <v>680</v>
      </c>
      <c r="J35" s="30">
        <f t="shared" si="7"/>
        <v>675</v>
      </c>
      <c r="K35" s="30">
        <f t="shared" si="7"/>
        <v>670</v>
      </c>
      <c r="L35" s="30">
        <f t="shared" si="7"/>
        <v>665</v>
      </c>
      <c r="M35" s="30">
        <f t="shared" si="7"/>
        <v>660</v>
      </c>
      <c r="N35" s="30">
        <f t="shared" si="7"/>
        <v>655</v>
      </c>
      <c r="O35" s="7"/>
      <c r="P35" s="7"/>
    </row>
    <row r="36" spans="2:17">
      <c r="B36" s="4"/>
      <c r="C36" s="4"/>
      <c r="D36" s="5" t="s">
        <v>30</v>
      </c>
      <c r="E36" s="35">
        <f t="shared" ref="E36:N36" si="8">NORMSDIST(LN(E35/$E9)/($E10*SQRT($E11/365)))</f>
        <v>0.5395682140749416</v>
      </c>
      <c r="F36" s="35">
        <f t="shared" si="8"/>
        <v>0.44055825725543674</v>
      </c>
      <c r="G36" s="35">
        <f t="shared" si="8"/>
        <v>0.34448579871620499</v>
      </c>
      <c r="H36" s="35">
        <f t="shared" si="8"/>
        <v>0.25695181996763972</v>
      </c>
      <c r="I36" s="35">
        <f t="shared" si="8"/>
        <v>0.18216591324941489</v>
      </c>
      <c r="J36" s="35">
        <f t="shared" si="8"/>
        <v>0.12233577176277555</v>
      </c>
      <c r="K36" s="35">
        <f t="shared" si="8"/>
        <v>7.7579590333067827E-2</v>
      </c>
      <c r="L36" s="35">
        <f t="shared" si="8"/>
        <v>4.6320418207170144E-2</v>
      </c>
      <c r="M36" s="35">
        <f t="shared" si="8"/>
        <v>2.5967125510818256E-2</v>
      </c>
      <c r="N36" s="35">
        <f t="shared" si="8"/>
        <v>1.3631875866060739E-2</v>
      </c>
      <c r="O36" s="36"/>
      <c r="P36" s="7"/>
    </row>
    <row r="37" spans="2:17" ht="6" customHeight="1">
      <c r="B37" s="4"/>
      <c r="C37" s="37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40"/>
      <c r="P37" s="7"/>
      <c r="Q37" s="34"/>
    </row>
    <row r="38" spans="2:17" ht="3.95" customHeight="1">
      <c r="B38" s="4"/>
      <c r="C38" s="4"/>
      <c r="D38" s="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6"/>
      <c r="P38" s="7"/>
      <c r="Q38" s="34"/>
    </row>
    <row r="39" spans="2:17">
      <c r="B39" s="4"/>
      <c r="C39" s="4"/>
      <c r="D39" s="18" t="s">
        <v>24</v>
      </c>
      <c r="E39" s="41" t="str">
        <f t="shared" ref="E39:N39" si="9">IF(E35=$I12,$I14*(1-E36)*$E12*100," ")</f>
        <v xml:space="preserve"> </v>
      </c>
      <c r="F39" s="41" t="str">
        <f t="shared" si="9"/>
        <v xml:space="preserve"> </v>
      </c>
      <c r="G39" s="41">
        <f t="shared" si="9"/>
        <v>209.76454441081441</v>
      </c>
      <c r="H39" s="41" t="str">
        <f t="shared" si="9"/>
        <v xml:space="preserve"> </v>
      </c>
      <c r="I39" s="41" t="str">
        <f t="shared" si="9"/>
        <v xml:space="preserve"> </v>
      </c>
      <c r="J39" s="41" t="str">
        <f t="shared" si="9"/>
        <v xml:space="preserve"> </v>
      </c>
      <c r="K39" s="41" t="str">
        <f t="shared" si="9"/>
        <v xml:space="preserve"> </v>
      </c>
      <c r="L39" s="41" t="str">
        <f t="shared" si="9"/>
        <v xml:space="preserve"> </v>
      </c>
      <c r="M39" s="41" t="str">
        <f t="shared" si="9"/>
        <v xml:space="preserve"> </v>
      </c>
      <c r="N39" s="41" t="str">
        <f t="shared" si="9"/>
        <v xml:space="preserve"> </v>
      </c>
      <c r="O39" s="42"/>
      <c r="P39" s="7"/>
      <c r="Q39" s="34"/>
    </row>
    <row r="40" spans="2:17" ht="15.75">
      <c r="B40" s="4"/>
      <c r="C40" s="4"/>
      <c r="D40" s="43" t="s">
        <v>25</v>
      </c>
      <c r="E40" s="44" t="str">
        <f t="shared" ref="E40:F40" si="10">IF(E35=$I$12,($I$13-$I$12)*E36*$E$12*100," ")</f>
        <v xml:space="preserve"> </v>
      </c>
      <c r="F40" s="44" t="str">
        <f t="shared" si="10"/>
        <v xml:space="preserve"> </v>
      </c>
      <c r="G40" s="44">
        <f>IF(G35=$I$12,($I$13-$I$12)*G36*$E$12*100," ")</f>
        <v>-1722.4289935810248</v>
      </c>
      <c r="H40" s="44" t="str">
        <f t="shared" ref="H40:N40" si="11">IF(H35=$I$12,($I$13-$I$12)*H36*$E$12*100," ")</f>
        <v xml:space="preserve"> </v>
      </c>
      <c r="I40" s="44" t="str">
        <f t="shared" si="11"/>
        <v xml:space="preserve"> </v>
      </c>
      <c r="J40" s="44" t="str">
        <f t="shared" si="11"/>
        <v xml:space="preserve"> </v>
      </c>
      <c r="K40" s="44" t="str">
        <f t="shared" si="11"/>
        <v xml:space="preserve"> </v>
      </c>
      <c r="L40" s="44" t="str">
        <f t="shared" si="11"/>
        <v xml:space="preserve"> </v>
      </c>
      <c r="M40" s="44" t="str">
        <f t="shared" si="11"/>
        <v xml:space="preserve"> </v>
      </c>
      <c r="N40" s="44" t="str">
        <f t="shared" si="11"/>
        <v xml:space="preserve"> </v>
      </c>
      <c r="O40" s="45"/>
      <c r="P40" s="7"/>
      <c r="Q40" s="34"/>
    </row>
    <row r="41" spans="2:17" ht="3.95" customHeight="1">
      <c r="B41" s="4"/>
      <c r="C41" s="4"/>
      <c r="D41" s="43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5"/>
      <c r="P41" s="7"/>
      <c r="Q41" s="34"/>
    </row>
    <row r="42" spans="2:17" ht="15.75">
      <c r="B42" s="4"/>
      <c r="C42" s="4"/>
      <c r="D42" s="46" t="s">
        <v>26</v>
      </c>
      <c r="E42" s="27" t="str">
        <f t="shared" ref="E42" si="12">IF(E39=" "," ",+E39+E40)</f>
        <v xml:space="preserve"> </v>
      </c>
      <c r="F42" s="27" t="str">
        <f>IF(F39=" "," ",+F39+F40)</f>
        <v xml:space="preserve"> </v>
      </c>
      <c r="G42" s="27">
        <f t="shared" ref="G42:N42" si="13">IF(G39=" "," ",+G39+G40)</f>
        <v>-1512.6644491702104</v>
      </c>
      <c r="H42" s="27" t="str">
        <f t="shared" si="13"/>
        <v xml:space="preserve"> </v>
      </c>
      <c r="I42" s="27" t="str">
        <f t="shared" si="13"/>
        <v xml:space="preserve"> </v>
      </c>
      <c r="J42" s="27" t="str">
        <f t="shared" si="13"/>
        <v xml:space="preserve"> </v>
      </c>
      <c r="K42" s="27" t="str">
        <f t="shared" si="13"/>
        <v xml:space="preserve"> </v>
      </c>
      <c r="L42" s="27" t="str">
        <f t="shared" si="13"/>
        <v xml:space="preserve"> </v>
      </c>
      <c r="M42" s="27" t="str">
        <f t="shared" si="13"/>
        <v xml:space="preserve"> </v>
      </c>
      <c r="N42" s="27" t="str">
        <f t="shared" si="13"/>
        <v xml:space="preserve"> </v>
      </c>
      <c r="O42" s="42"/>
      <c r="P42" s="7"/>
      <c r="Q42" s="34"/>
    </row>
    <row r="43" spans="2:17">
      <c r="B43" s="4"/>
      <c r="C43" s="4"/>
      <c r="D43" s="47" t="s">
        <v>27</v>
      </c>
      <c r="E43" s="31" t="str">
        <f t="shared" ref="E43:N43" si="14">IF(E39=" "," ",+E39/-E40)</f>
        <v xml:space="preserve"> </v>
      </c>
      <c r="F43" s="31" t="str">
        <f t="shared" si="14"/>
        <v xml:space="preserve"> </v>
      </c>
      <c r="G43" s="31">
        <f t="shared" si="14"/>
        <v>0.12178414622172747</v>
      </c>
      <c r="H43" s="31" t="str">
        <f t="shared" si="14"/>
        <v xml:space="preserve"> </v>
      </c>
      <c r="I43" s="31" t="str">
        <f t="shared" si="14"/>
        <v xml:space="preserve"> </v>
      </c>
      <c r="J43" s="31" t="str">
        <f t="shared" si="14"/>
        <v xml:space="preserve"> </v>
      </c>
      <c r="K43" s="31" t="str">
        <f t="shared" si="14"/>
        <v xml:space="preserve"> </v>
      </c>
      <c r="L43" s="31" t="str">
        <f t="shared" si="14"/>
        <v xml:space="preserve"> </v>
      </c>
      <c r="M43" s="31" t="str">
        <f t="shared" si="14"/>
        <v xml:space="preserve"> </v>
      </c>
      <c r="N43" s="31" t="str">
        <f t="shared" si="14"/>
        <v xml:space="preserve"> </v>
      </c>
      <c r="O43" s="48"/>
      <c r="P43" s="7"/>
      <c r="Q43" s="34"/>
    </row>
    <row r="44" spans="2:17" ht="3.95" customHeight="1">
      <c r="B44" s="4"/>
      <c r="C44" s="4"/>
      <c r="D44" s="18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8"/>
      <c r="P44" s="7"/>
      <c r="Q44" s="34"/>
    </row>
    <row r="45" spans="2:17">
      <c r="B45" s="4"/>
      <c r="C45" s="4"/>
      <c r="D45" s="18" t="s">
        <v>28</v>
      </c>
      <c r="E45" s="41" t="str">
        <f t="shared" ref="E45:N45" si="15">IF(E39=" "," ",-($I13-$I12)*E36/(1-E36))</f>
        <v xml:space="preserve"> </v>
      </c>
      <c r="F45" s="41" t="str">
        <f t="shared" si="15"/>
        <v xml:space="preserve"> </v>
      </c>
      <c r="G45" s="41">
        <f t="shared" si="15"/>
        <v>2.6275998143254951</v>
      </c>
      <c r="H45" s="41" t="str">
        <f t="shared" si="15"/>
        <v xml:space="preserve"> </v>
      </c>
      <c r="I45" s="41" t="str">
        <f t="shared" si="15"/>
        <v xml:space="preserve"> </v>
      </c>
      <c r="J45" s="41" t="str">
        <f t="shared" si="15"/>
        <v xml:space="preserve"> </v>
      </c>
      <c r="K45" s="41" t="str">
        <f t="shared" si="15"/>
        <v xml:space="preserve"> </v>
      </c>
      <c r="L45" s="41" t="str">
        <f t="shared" si="15"/>
        <v xml:space="preserve"> </v>
      </c>
      <c r="M45" s="41" t="str">
        <f t="shared" si="15"/>
        <v xml:space="preserve"> </v>
      </c>
      <c r="N45" s="41" t="str">
        <f t="shared" si="15"/>
        <v xml:space="preserve"> </v>
      </c>
      <c r="O45" s="42"/>
      <c r="P45" s="7"/>
    </row>
    <row r="46" spans="2:17" ht="3.95" customHeight="1">
      <c r="B46" s="4"/>
      <c r="C46" s="37"/>
      <c r="D46" s="50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2"/>
      <c r="P46" s="7"/>
    </row>
    <row r="47" spans="2:17">
      <c r="B47" s="37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54"/>
    </row>
  </sheetData>
  <mergeCells count="2">
    <mergeCell ref="K5:L5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Pricing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John</cp:lastModifiedBy>
  <dcterms:created xsi:type="dcterms:W3CDTF">2012-09-20T19:32:09Z</dcterms:created>
  <dcterms:modified xsi:type="dcterms:W3CDTF">2012-09-20T23:11:00Z</dcterms:modified>
</cp:coreProperties>
</file>